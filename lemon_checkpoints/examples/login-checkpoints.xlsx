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看板" sheetId="1" state="visible" r:id="rId1"/>
    <sheet xmlns:r="http://schemas.openxmlformats.org/officeDocument/2006/relationships" name="测试清单" sheetId="2" state="visible" r:id="rId2"/>
    <sheet xmlns:r="http://schemas.openxmlformats.org/officeDocument/2006/relationships" name="待确认" sheetId="3" state="visible" r:id="rId3"/>
    <sheet xmlns:r="http://schemas.openxmlformats.org/officeDocument/2006/relationships" name="规则证据" sheetId="4" state="visible" r:id="rId4"/>
    <sheet xmlns:r="http://schemas.openxmlformats.org/officeDocument/2006/relationships" name="覆盖地图" sheetId="5" state="visible" r:id="rId5"/>
  </sheets>
  <definedNames>
    <definedName name="_xlnm._FilterDatabase" localSheetId="0" hidden="1">'执行看板'!$A$1:$B$7</definedName>
    <definedName name="_xlnm._FilterDatabase" localSheetId="1" hidden="1">'测试清单'!$A$1:$L$16</definedName>
    <definedName name="_xlnm._FilterDatabase" localSheetId="2" hidden="1">'待确认'!$A$1:$G$2</definedName>
    <definedName name="_xlnm._FilterDatabase" localSheetId="3" hidden="1">'规则证据'!$A$1:$E$3</definedName>
    <definedName name="_xlnm._FilterDatabase" localSheetId="4" hidden="1">'覆盖地图'!$A$1:$E$15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3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ECACA"/>
        </patternFill>
      </fill>
    </dxf>
    <dxf>
      <fill>
        <patternFill patternType="solid">
          <fgColor rgb="00FED7AA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测试执行看板</t>
        </is>
      </c>
      <c r="B1" s="1" t="inlineStr">
        <is>
          <t>数量</t>
        </is>
      </c>
    </row>
    <row r="2">
      <c r="A2" s="2" t="inlineStr">
        <is>
          <t>A 首轮冒烟</t>
        </is>
      </c>
      <c r="B2" s="2">
        <f>COUNTIF('测试清单'!$B$2:$B$100,"A*")</f>
        <v/>
      </c>
    </row>
    <row r="3">
      <c r="A3" s="2" t="inlineStr">
        <is>
          <t>B 重点验证</t>
        </is>
      </c>
      <c r="B3" s="2">
        <f>COUNTIF('测试清单'!$B$2:$B$100,"B*")</f>
        <v/>
      </c>
    </row>
    <row r="4">
      <c r="A4" s="2" t="inlineStr">
        <is>
          <t>C 扩展检查</t>
        </is>
      </c>
      <c r="B4" s="2">
        <f>COUNTIF('测试清单'!$B$2:$B$100,"C*")</f>
        <v/>
      </c>
    </row>
    <row r="5">
      <c r="A5" s="2" t="inlineStr">
        <is>
          <t>S0</t>
        </is>
      </c>
      <c r="B5" s="2">
        <f>COUNTIF('测试清单'!$J$2:$J$100,"S0")</f>
        <v/>
      </c>
    </row>
    <row r="6">
      <c r="A6" s="2" t="inlineStr">
        <is>
          <t>开放问题</t>
        </is>
      </c>
      <c r="B6" s="2">
        <f>COUNTIF('待确认'!$F$2:$F$100,"开放")</f>
        <v/>
      </c>
    </row>
    <row r="7">
      <c r="A7" s="2" t="inlineStr">
        <is>
          <t>材料处理方式</t>
        </is>
      </c>
      <c r="B7" s="2" t="inlineStr">
        <is>
          <t>直接整理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4" customWidth="1" min="4" max="4"/>
    <col width="34" customWidth="1" min="5" max="5"/>
    <col width="28" customWidth="1" min="6" max="6"/>
    <col width="40" customWidth="1" min="7" max="7"/>
    <col width="14" customWidth="1" min="8" max="8"/>
    <col width="18" customWidth="1" min="9" max="9"/>
    <col width="10" customWidth="1" min="10" max="10"/>
    <col width="28" customWidth="1" min="11" max="11"/>
    <col width="30" customWidth="1" min="12" max="12"/>
  </cols>
  <sheetData>
    <row r="1">
      <c r="A1" s="1" t="inlineStr">
        <is>
          <t>检查编号</t>
        </is>
      </c>
      <c r="B1" s="1" t="inlineStr">
        <is>
          <t>执行批次</t>
        </is>
      </c>
      <c r="C1" s="1" t="inlineStr">
        <is>
          <t>业务链路</t>
        </is>
      </c>
      <c r="D1" s="1" t="inlineStr">
        <is>
          <t>风险主题</t>
        </is>
      </c>
      <c r="E1" s="1" t="inlineStr">
        <is>
          <t>触发情况</t>
        </is>
      </c>
      <c r="F1" s="1" t="inlineStr">
        <is>
          <t>样本数据</t>
        </is>
      </c>
      <c r="G1" s="1" t="inlineStr">
        <is>
          <t>核对结果</t>
        </is>
      </c>
      <c r="H1" s="1" t="inlineStr">
        <is>
          <t>证据级别</t>
        </is>
      </c>
      <c r="I1" s="1" t="inlineStr">
        <is>
          <t>关联项</t>
        </is>
      </c>
      <c r="J1" s="1" t="inlineStr">
        <is>
          <t>严重度</t>
        </is>
      </c>
      <c r="K1" s="1" t="inlineStr">
        <is>
          <t>执行方式</t>
        </is>
      </c>
      <c r="L1" s="1" t="inlineStr">
        <is>
          <t>失败影响</t>
        </is>
      </c>
    </row>
    <row r="2">
      <c r="A2" s="2" t="inlineStr">
        <is>
          <t>LC-001</t>
        </is>
      </c>
      <c r="B2" s="2" t="inlineStr">
        <is>
          <t>A 首轮冒烟</t>
        </is>
      </c>
      <c r="C2" s="2" t="inlineStr">
        <is>
          <t>进入与展示</t>
        </is>
      </c>
      <c r="D2" s="2" t="inlineStr">
        <is>
          <t>功能</t>
        </is>
      </c>
      <c r="E2" s="2" t="inlineStr">
        <is>
          <t>[具体触发情况]</t>
        </is>
      </c>
      <c r="F2" s="2" t="inlineStr">
        <is>
          <t>[账号、数值、状态或组合]</t>
        </is>
      </c>
      <c r="G2" s="2" t="inlineStr">
        <is>
          <t>[页面、接口、数据或日志中的可核对结果]</t>
        </is>
      </c>
      <c r="H2" s="2" t="inlineStr">
        <is>
          <t>验证建议</t>
        </is>
      </c>
      <c r="I2" s="2" t="inlineStr">
        <is>
          <t>V-001 / O-001</t>
        </is>
      </c>
      <c r="J2" s="2" t="inlineStr">
        <is>
          <t>S0</t>
        </is>
      </c>
      <c r="K2" s="2" t="inlineStr">
        <is>
          <t>[人工/自动化/组合 + 原因]</t>
        </is>
      </c>
      <c r="L2" s="2" t="inlineStr">
        <is>
          <t>[直接业务影响]</t>
        </is>
      </c>
    </row>
    <row r="3">
      <c r="A3" s="2" t="inlineStr">
        <is>
          <t>LC-002</t>
        </is>
      </c>
      <c r="B3" s="2" t="inlineStr">
        <is>
          <t>A 首轮冒烟</t>
        </is>
      </c>
      <c r="C3" s="2" t="inlineStr">
        <is>
          <t>信息输入</t>
        </is>
      </c>
      <c r="D3" s="2" t="inlineStr">
        <is>
          <t>功能</t>
        </is>
      </c>
      <c r="E3" s="2" t="inlineStr">
        <is>
          <t>[具体触发情况]</t>
        </is>
      </c>
      <c r="F3" s="2" t="inlineStr">
        <is>
          <t>[账号、数值、状态或组合]</t>
        </is>
      </c>
      <c r="G3" s="2" t="inlineStr">
        <is>
          <t>[页面、接口、数据或日志中的可核对结果]</t>
        </is>
      </c>
      <c r="H3" s="2" t="inlineStr">
        <is>
          <t>验证建议</t>
        </is>
      </c>
      <c r="I3" s="2" t="inlineStr">
        <is>
          <t>V-001 / O-001</t>
        </is>
      </c>
      <c r="J3" s="2" t="inlineStr">
        <is>
          <t>S0</t>
        </is>
      </c>
      <c r="K3" s="2" t="inlineStr">
        <is>
          <t>[人工/自动化/组合 + 原因]</t>
        </is>
      </c>
      <c r="L3" s="2" t="inlineStr">
        <is>
          <t>[直接业务影响]</t>
        </is>
      </c>
    </row>
    <row r="4">
      <c r="A4" s="2" t="inlineStr">
        <is>
          <t>LC-003</t>
        </is>
      </c>
      <c r="B4" s="2" t="inlineStr">
        <is>
          <t>A 首轮冒烟</t>
        </is>
      </c>
      <c r="C4" s="2" t="inlineStr">
        <is>
          <t>系统校验</t>
        </is>
      </c>
      <c r="D4" s="2" t="inlineStr">
        <is>
          <t>功能</t>
        </is>
      </c>
      <c r="E4" s="2" t="inlineStr">
        <is>
          <t>[具体触发情况]</t>
        </is>
      </c>
      <c r="F4" s="2" t="inlineStr">
        <is>
          <t>[账号、数值、状态或组合]</t>
        </is>
      </c>
      <c r="G4" s="2" t="inlineStr">
        <is>
          <t>[页面、接口、数据或日志中的可核对结果]</t>
        </is>
      </c>
      <c r="H4" s="2" t="inlineStr">
        <is>
          <t>验证建议</t>
        </is>
      </c>
      <c r="I4" s="2" t="inlineStr">
        <is>
          <t>V-001 / O-001</t>
        </is>
      </c>
      <c r="J4" s="2" t="inlineStr">
        <is>
          <t>S0</t>
        </is>
      </c>
      <c r="K4" s="2" t="inlineStr">
        <is>
          <t>[人工/自动化/组合 + 原因]</t>
        </is>
      </c>
      <c r="L4" s="2" t="inlineStr">
        <is>
          <t>[直接业务影响]</t>
        </is>
      </c>
    </row>
    <row r="5">
      <c r="A5" s="2" t="inlineStr">
        <is>
          <t>LC-004</t>
        </is>
      </c>
      <c r="B5" s="2" t="inlineStr">
        <is>
          <t>A 首轮冒烟</t>
        </is>
      </c>
      <c r="C5" s="2" t="inlineStr">
        <is>
          <t>结果反馈</t>
        </is>
      </c>
      <c r="D5" s="2" t="inlineStr">
        <is>
          <t>功能</t>
        </is>
      </c>
      <c r="E5" s="2" t="inlineStr">
        <is>
          <t>[具体触发情况]</t>
        </is>
      </c>
      <c r="F5" s="2" t="inlineStr">
        <is>
          <t>[账号、数值、状态或组合]</t>
        </is>
      </c>
      <c r="G5" s="2" t="inlineStr">
        <is>
          <t>[页面、接口、数据或日志中的可核对结果]</t>
        </is>
      </c>
      <c r="H5" s="2" t="inlineStr">
        <is>
          <t>验证建议</t>
        </is>
      </c>
      <c r="I5" s="2" t="inlineStr">
        <is>
          <t>V-001 / O-001</t>
        </is>
      </c>
      <c r="J5" s="2" t="inlineStr">
        <is>
          <t>S0</t>
        </is>
      </c>
      <c r="K5" s="2" t="inlineStr">
        <is>
          <t>[人工/自动化/组合 + 原因]</t>
        </is>
      </c>
      <c r="L5" s="2" t="inlineStr">
        <is>
          <t>[直接业务影响]</t>
        </is>
      </c>
    </row>
    <row r="6">
      <c r="A6" s="2" t="inlineStr">
        <is>
          <t>LC-005</t>
        </is>
      </c>
      <c r="B6" s="2" t="inlineStr">
        <is>
          <t>A 首轮冒烟</t>
        </is>
      </c>
      <c r="C6" s="2" t="inlineStr">
        <is>
          <t>状态保持与退出</t>
        </is>
      </c>
      <c r="D6" s="2" t="inlineStr">
        <is>
          <t>功能</t>
        </is>
      </c>
      <c r="E6" s="2" t="inlineStr">
        <is>
          <t>[具体触发情况]</t>
        </is>
      </c>
      <c r="F6" s="2" t="inlineStr">
        <is>
          <t>[账号、数值、状态或组合]</t>
        </is>
      </c>
      <c r="G6" s="2" t="inlineStr">
        <is>
          <t>[页面、接口、数据或日志中的可核对结果]</t>
        </is>
      </c>
      <c r="H6" s="2" t="inlineStr">
        <is>
          <t>验证建议</t>
        </is>
      </c>
      <c r="I6" s="2" t="inlineStr">
        <is>
          <t>V-001 / O-001</t>
        </is>
      </c>
      <c r="J6" s="2" t="inlineStr">
        <is>
          <t>S0</t>
        </is>
      </c>
      <c r="K6" s="2" t="inlineStr">
        <is>
          <t>[人工/自动化/组合 + 原因]</t>
        </is>
      </c>
      <c r="L6" s="2" t="inlineStr">
        <is>
          <t>[直接业务影响]</t>
        </is>
      </c>
    </row>
    <row r="7">
      <c r="A7" s="2" t="inlineStr">
        <is>
          <t>LC-006</t>
        </is>
      </c>
      <c r="B7" s="2" t="inlineStr">
        <is>
          <t>B 重点验证</t>
        </is>
      </c>
      <c r="C7" s="2" t="inlineStr">
        <is>
          <t>进入与展示</t>
        </is>
      </c>
      <c r="D7" s="2" t="inlineStr">
        <is>
          <t>安全</t>
        </is>
      </c>
      <c r="E7" s="2" t="inlineStr">
        <is>
          <t>[具体触发情况]</t>
        </is>
      </c>
      <c r="F7" s="2" t="inlineStr">
        <is>
          <t>[账号、数值、状态或组合]</t>
        </is>
      </c>
      <c r="G7" s="2" t="inlineStr">
        <is>
          <t>[页面、接口、数据或日志中的可核对结果]</t>
        </is>
      </c>
      <c r="H7" s="2" t="inlineStr">
        <is>
          <t>验证建议</t>
        </is>
      </c>
      <c r="I7" s="2" t="inlineStr">
        <is>
          <t>V-001 / O-001</t>
        </is>
      </c>
      <c r="J7" s="2" t="inlineStr">
        <is>
          <t>S1</t>
        </is>
      </c>
      <c r="K7" s="2" t="inlineStr">
        <is>
          <t>[人工/自动化/组合 + 原因]</t>
        </is>
      </c>
      <c r="L7" s="2" t="inlineStr">
        <is>
          <t>[直接业务影响]</t>
        </is>
      </c>
    </row>
    <row r="8">
      <c r="A8" s="2" t="inlineStr">
        <is>
          <t>LC-007</t>
        </is>
      </c>
      <c r="B8" s="2" t="inlineStr">
        <is>
          <t>B 重点验证</t>
        </is>
      </c>
      <c r="C8" s="2" t="inlineStr">
        <is>
          <t>信息输入</t>
        </is>
      </c>
      <c r="D8" s="2" t="inlineStr">
        <is>
          <t>安全</t>
        </is>
      </c>
      <c r="E8" s="2" t="inlineStr">
        <is>
          <t>[具体触发情况]</t>
        </is>
      </c>
      <c r="F8" s="2" t="inlineStr">
        <is>
          <t>[账号、数值、状态或组合]</t>
        </is>
      </c>
      <c r="G8" s="2" t="inlineStr">
        <is>
          <t>[页面、接口、数据或日志中的可核对结果]</t>
        </is>
      </c>
      <c r="H8" s="2" t="inlineStr">
        <is>
          <t>验证建议</t>
        </is>
      </c>
      <c r="I8" s="2" t="inlineStr">
        <is>
          <t>V-001 / O-001</t>
        </is>
      </c>
      <c r="J8" s="2" t="inlineStr">
        <is>
          <t>S1</t>
        </is>
      </c>
      <c r="K8" s="2" t="inlineStr">
        <is>
          <t>[人工/自动化/组合 + 原因]</t>
        </is>
      </c>
      <c r="L8" s="2" t="inlineStr">
        <is>
          <t>[直接业务影响]</t>
        </is>
      </c>
    </row>
    <row r="9">
      <c r="A9" s="2" t="inlineStr">
        <is>
          <t>LC-008</t>
        </is>
      </c>
      <c r="B9" s="2" t="inlineStr">
        <is>
          <t>B 重点验证</t>
        </is>
      </c>
      <c r="C9" s="2" t="inlineStr">
        <is>
          <t>系统校验</t>
        </is>
      </c>
      <c r="D9" s="2" t="inlineStr">
        <is>
          <t>安全</t>
        </is>
      </c>
      <c r="E9" s="2" t="inlineStr">
        <is>
          <t>[具体触发情况]</t>
        </is>
      </c>
      <c r="F9" s="2" t="inlineStr">
        <is>
          <t>[账号、数值、状态或组合]</t>
        </is>
      </c>
      <c r="G9" s="2" t="inlineStr">
        <is>
          <t>[页面、接口、数据或日志中的可核对结果]</t>
        </is>
      </c>
      <c r="H9" s="2" t="inlineStr">
        <is>
          <t>验证建议</t>
        </is>
      </c>
      <c r="I9" s="2" t="inlineStr">
        <is>
          <t>V-001 / O-001</t>
        </is>
      </c>
      <c r="J9" s="2" t="inlineStr">
        <is>
          <t>S1</t>
        </is>
      </c>
      <c r="K9" s="2" t="inlineStr">
        <is>
          <t>[人工/自动化/组合 + 原因]</t>
        </is>
      </c>
      <c r="L9" s="2" t="inlineStr">
        <is>
          <t>[直接业务影响]</t>
        </is>
      </c>
    </row>
    <row r="10">
      <c r="A10" s="2" t="inlineStr">
        <is>
          <t>LC-009</t>
        </is>
      </c>
      <c r="B10" s="2" t="inlineStr">
        <is>
          <t>B 重点验证</t>
        </is>
      </c>
      <c r="C10" s="2" t="inlineStr">
        <is>
          <t>结果反馈</t>
        </is>
      </c>
      <c r="D10" s="2" t="inlineStr">
        <is>
          <t>安全</t>
        </is>
      </c>
      <c r="E10" s="2" t="inlineStr">
        <is>
          <t>[具体触发情况]</t>
        </is>
      </c>
      <c r="F10" s="2" t="inlineStr">
        <is>
          <t>[账号、数值、状态或组合]</t>
        </is>
      </c>
      <c r="G10" s="2" t="inlineStr">
        <is>
          <t>[页面、接口、数据或日志中的可核对结果]</t>
        </is>
      </c>
      <c r="H10" s="2" t="inlineStr">
        <is>
          <t>验证建议</t>
        </is>
      </c>
      <c r="I10" s="2" t="inlineStr">
        <is>
          <t>V-001 / O-001</t>
        </is>
      </c>
      <c r="J10" s="2" t="inlineStr">
        <is>
          <t>S1</t>
        </is>
      </c>
      <c r="K10" s="2" t="inlineStr">
        <is>
          <t>[人工/自动化/组合 + 原因]</t>
        </is>
      </c>
      <c r="L10" s="2" t="inlineStr">
        <is>
          <t>[直接业务影响]</t>
        </is>
      </c>
    </row>
    <row r="11">
      <c r="A11" s="2" t="inlineStr">
        <is>
          <t>LC-010</t>
        </is>
      </c>
      <c r="B11" s="2" t="inlineStr">
        <is>
          <t>B 重点验证</t>
        </is>
      </c>
      <c r="C11" s="2" t="inlineStr">
        <is>
          <t>状态保持与退出</t>
        </is>
      </c>
      <c r="D11" s="2" t="inlineStr">
        <is>
          <t>安全</t>
        </is>
      </c>
      <c r="E11" s="2" t="inlineStr">
        <is>
          <t>[具体触发情况]</t>
        </is>
      </c>
      <c r="F11" s="2" t="inlineStr">
        <is>
          <t>[账号、数值、状态或组合]</t>
        </is>
      </c>
      <c r="G11" s="2" t="inlineStr">
        <is>
          <t>[页面、接口、数据或日志中的可核对结果]</t>
        </is>
      </c>
      <c r="H11" s="2" t="inlineStr">
        <is>
          <t>验证建议</t>
        </is>
      </c>
      <c r="I11" s="2" t="inlineStr">
        <is>
          <t>V-001 / O-001</t>
        </is>
      </c>
      <c r="J11" s="2" t="inlineStr">
        <is>
          <t>S1</t>
        </is>
      </c>
      <c r="K11" s="2" t="inlineStr">
        <is>
          <t>[人工/自动化/组合 + 原因]</t>
        </is>
      </c>
      <c r="L11" s="2" t="inlineStr">
        <is>
          <t>[直接业务影响]</t>
        </is>
      </c>
    </row>
    <row r="12">
      <c r="A12" s="2" t="inlineStr">
        <is>
          <t>LC-011</t>
        </is>
      </c>
      <c r="B12" s="2" t="inlineStr">
        <is>
          <t>C 扩展检查</t>
        </is>
      </c>
      <c r="C12" s="2" t="inlineStr">
        <is>
          <t>进入与展示</t>
        </is>
      </c>
      <c r="D12" s="2" t="inlineStr">
        <is>
          <t>兼容</t>
        </is>
      </c>
      <c r="E12" s="2" t="inlineStr">
        <is>
          <t>[具体触发情况]</t>
        </is>
      </c>
      <c r="F12" s="2" t="inlineStr">
        <is>
          <t>[账号、数值、状态或组合]</t>
        </is>
      </c>
      <c r="G12" s="2" t="inlineStr">
        <is>
          <t>[页面、接口、数据或日志中的可核对结果]</t>
        </is>
      </c>
      <c r="H12" s="2" t="inlineStr">
        <is>
          <t>验证建议</t>
        </is>
      </c>
      <c r="I12" s="2" t="inlineStr">
        <is>
          <t>V-001 / O-001</t>
        </is>
      </c>
      <c r="J12" s="2" t="inlineStr">
        <is>
          <t>S2</t>
        </is>
      </c>
      <c r="K12" s="2" t="inlineStr">
        <is>
          <t>[人工/自动化/组合 + 原因]</t>
        </is>
      </c>
      <c r="L12" s="2" t="inlineStr">
        <is>
          <t>[直接业务影响]</t>
        </is>
      </c>
    </row>
    <row r="13">
      <c r="A13" s="2" t="inlineStr">
        <is>
          <t>LC-012</t>
        </is>
      </c>
      <c r="B13" s="2" t="inlineStr">
        <is>
          <t>C 扩展检查</t>
        </is>
      </c>
      <c r="C13" s="2" t="inlineStr">
        <is>
          <t>信息输入</t>
        </is>
      </c>
      <c r="D13" s="2" t="inlineStr">
        <is>
          <t>兼容</t>
        </is>
      </c>
      <c r="E13" s="2" t="inlineStr">
        <is>
          <t>[具体触发情况]</t>
        </is>
      </c>
      <c r="F13" s="2" t="inlineStr">
        <is>
          <t>[账号、数值、状态或组合]</t>
        </is>
      </c>
      <c r="G13" s="2" t="inlineStr">
        <is>
          <t>[页面、接口、数据或日志中的可核对结果]</t>
        </is>
      </c>
      <c r="H13" s="2" t="inlineStr">
        <is>
          <t>验证建议</t>
        </is>
      </c>
      <c r="I13" s="2" t="inlineStr">
        <is>
          <t>V-001 / O-001</t>
        </is>
      </c>
      <c r="J13" s="2" t="inlineStr">
        <is>
          <t>S2</t>
        </is>
      </c>
      <c r="K13" s="2" t="inlineStr">
        <is>
          <t>[人工/自动化/组合 + 原因]</t>
        </is>
      </c>
      <c r="L13" s="2" t="inlineStr">
        <is>
          <t>[直接业务影响]</t>
        </is>
      </c>
    </row>
    <row r="14">
      <c r="A14" s="2" t="inlineStr">
        <is>
          <t>LC-013</t>
        </is>
      </c>
      <c r="B14" s="2" t="inlineStr">
        <is>
          <t>C 扩展检查</t>
        </is>
      </c>
      <c r="C14" s="2" t="inlineStr">
        <is>
          <t>系统校验</t>
        </is>
      </c>
      <c r="D14" s="2" t="inlineStr">
        <is>
          <t>兼容</t>
        </is>
      </c>
      <c r="E14" s="2" t="inlineStr">
        <is>
          <t>[具体触发情况]</t>
        </is>
      </c>
      <c r="F14" s="2" t="inlineStr">
        <is>
          <t>[账号、数值、状态或组合]</t>
        </is>
      </c>
      <c r="G14" s="2" t="inlineStr">
        <is>
          <t>[页面、接口、数据或日志中的可核对结果]</t>
        </is>
      </c>
      <c r="H14" s="2" t="inlineStr">
        <is>
          <t>验证建议</t>
        </is>
      </c>
      <c r="I14" s="2" t="inlineStr">
        <is>
          <t>V-001 / O-001</t>
        </is>
      </c>
      <c r="J14" s="2" t="inlineStr">
        <is>
          <t>S2</t>
        </is>
      </c>
      <c r="K14" s="2" t="inlineStr">
        <is>
          <t>[人工/自动化/组合 + 原因]</t>
        </is>
      </c>
      <c r="L14" s="2" t="inlineStr">
        <is>
          <t>[直接业务影响]</t>
        </is>
      </c>
    </row>
    <row r="15">
      <c r="A15" s="2" t="inlineStr">
        <is>
          <t>LC-014</t>
        </is>
      </c>
      <c r="B15" s="2" t="inlineStr">
        <is>
          <t>C 扩展检查</t>
        </is>
      </c>
      <c r="C15" s="2" t="inlineStr">
        <is>
          <t>结果反馈</t>
        </is>
      </c>
      <c r="D15" s="2" t="inlineStr">
        <is>
          <t>兼容</t>
        </is>
      </c>
      <c r="E15" s="2" t="inlineStr">
        <is>
          <t>[具体触发情况]</t>
        </is>
      </c>
      <c r="F15" s="2" t="inlineStr">
        <is>
          <t>[账号、数值、状态或组合]</t>
        </is>
      </c>
      <c r="G15" s="2" t="inlineStr">
        <is>
          <t>[页面、接口、数据或日志中的可核对结果]</t>
        </is>
      </c>
      <c r="H15" s="2" t="inlineStr">
        <is>
          <t>验证建议</t>
        </is>
      </c>
      <c r="I15" s="2" t="inlineStr">
        <is>
          <t>V-001 / O-001</t>
        </is>
      </c>
      <c r="J15" s="2" t="inlineStr">
        <is>
          <t>S2</t>
        </is>
      </c>
      <c r="K15" s="2" t="inlineStr">
        <is>
          <t>[人工/自动化/组合 + 原因]</t>
        </is>
      </c>
      <c r="L15" s="2" t="inlineStr">
        <is>
          <t>[直接业务影响]</t>
        </is>
      </c>
    </row>
    <row r="16">
      <c r="A16" s="2" t="inlineStr">
        <is>
          <t>LC-015</t>
        </is>
      </c>
      <c r="B16" s="2" t="inlineStr">
        <is>
          <t>C 扩展检查</t>
        </is>
      </c>
      <c r="C16" s="2" t="inlineStr">
        <is>
          <t>状态保持与退出</t>
        </is>
      </c>
      <c r="D16" s="2" t="inlineStr">
        <is>
          <t>兼容</t>
        </is>
      </c>
      <c r="E16" s="2" t="inlineStr">
        <is>
          <t>[具体触发情况]</t>
        </is>
      </c>
      <c r="F16" s="2" t="inlineStr">
        <is>
          <t>[账号、数值、状态或组合]</t>
        </is>
      </c>
      <c r="G16" s="2" t="inlineStr">
        <is>
          <t>[页面、接口、数据或日志中的可核对结果]</t>
        </is>
      </c>
      <c r="H16" s="2" t="inlineStr">
        <is>
          <t>验证建议</t>
        </is>
      </c>
      <c r="I16" s="2" t="inlineStr">
        <is>
          <t>V-001 / O-001</t>
        </is>
      </c>
      <c r="J16" s="2" t="inlineStr">
        <is>
          <t>S2</t>
        </is>
      </c>
      <c r="K16" s="2" t="inlineStr">
        <is>
          <t>[人工/自动化/组合 + 原因]</t>
        </is>
      </c>
      <c r="L16" s="2" t="inlineStr">
        <is>
          <t>[直接业务影响]</t>
        </is>
      </c>
    </row>
  </sheetData>
  <autoFilter ref="A1:L16"/>
  <conditionalFormatting sqref="J2:J16">
    <cfRule type="expression" priority="1" dxfId="0">
      <formula>J2="S0"</formula>
    </cfRule>
    <cfRule type="expression" priority="2" dxfId="1">
      <formula>J2="S1"</formula>
    </cfRule>
    <cfRule type="expression" priority="3" dxfId="2">
      <formula>J2="S2"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4" customWidth="1" min="3" max="3"/>
    <col width="34" customWidth="1" min="4" max="4"/>
    <col width="14" customWidth="1" min="5" max="5"/>
    <col width="12" customWidth="1" min="6" max="6"/>
    <col width="32" customWidth="1" min="7" max="7"/>
  </cols>
  <sheetData>
    <row r="1">
      <c r="A1" s="1" t="inlineStr">
        <is>
          <t>编号</t>
        </is>
      </c>
      <c r="B1" s="1" t="inlineStr">
        <is>
          <t>需要确认的问题</t>
        </is>
      </c>
      <c r="C1" s="1" t="inlineStr">
        <is>
          <t>影响测试点</t>
        </is>
      </c>
      <c r="D1" s="1" t="inlineStr">
        <is>
          <t>风险或影响</t>
        </is>
      </c>
      <c r="E1" s="1" t="inlineStr">
        <is>
          <t>负责人</t>
        </is>
      </c>
      <c r="F1" s="1" t="inlineStr">
        <is>
          <t>状态</t>
        </is>
      </c>
      <c r="G1" s="1" t="inlineStr">
        <is>
          <t>确认结论</t>
        </is>
      </c>
    </row>
    <row r="2">
      <c r="A2" s="2" t="inlineStr">
        <is>
          <t>O-001</t>
        </is>
      </c>
      <c r="B2" s="2" t="inlineStr">
        <is>
          <t>[会改变步骤、预期结果或风险判断的问题]</t>
        </is>
      </c>
      <c r="C2" s="2" t="inlineStr">
        <is>
          <t>[关联LC-XXX]</t>
        </is>
      </c>
      <c r="D2" s="2" t="inlineStr">
        <is>
          <t>[规则缺失造成的测试或业务风险]</t>
        </is>
      </c>
      <c r="E2" s="2" t="inlineStr"/>
      <c r="F2" s="2" t="inlineStr">
        <is>
          <t>开放</t>
        </is>
      </c>
      <c r="G2" s="2" t="inlineStr"/>
    </row>
  </sheetData>
  <autoFilter ref="A1: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8" customWidth="1" min="3" max="3"/>
    <col width="32" customWidth="1" min="4" max="4"/>
    <col width="12" customWidth="1" min="5" max="5"/>
  </cols>
  <sheetData>
    <row r="1">
      <c r="A1" s="1" t="inlineStr">
        <is>
          <t>编号</t>
        </is>
      </c>
      <c r="B1" s="1" t="inlineStr">
        <is>
          <t>证据级别</t>
        </is>
      </c>
      <c r="C1" s="1" t="inlineStr">
        <is>
          <t>内容</t>
        </is>
      </c>
      <c r="D1" s="1" t="inlineStr">
        <is>
          <t>来源或影响范围</t>
        </is>
      </c>
      <c r="E1" s="1" t="inlineStr">
        <is>
          <t>状态</t>
        </is>
      </c>
    </row>
    <row r="2">
      <c r="A2" s="2" t="inlineStr">
        <is>
          <t>F-001</t>
        </is>
      </c>
      <c r="B2" s="2" t="inlineStr">
        <is>
          <t>已确认</t>
        </is>
      </c>
      <c r="C2" s="2" t="inlineStr">
        <is>
          <t>[从材料直接提取]</t>
        </is>
      </c>
      <c r="D2" s="2" t="inlineStr">
        <is>
          <t>[原文段落、截图区域或接口文档]</t>
        </is>
      </c>
      <c r="E2" s="2" t="inlineStr">
        <is>
          <t>有效</t>
        </is>
      </c>
    </row>
    <row r="3">
      <c r="A3" s="2" t="inlineStr">
        <is>
          <t>V-001</t>
        </is>
      </c>
      <c r="B3" s="2" t="inlineStr">
        <is>
          <t>验证建议</t>
        </is>
      </c>
      <c r="C3" s="2" t="inlineStr">
        <is>
          <t>[高风险但材料未说明的检查]</t>
        </is>
      </c>
      <c r="D3" s="2" t="inlineStr">
        <is>
          <t>[关联O-XXX]</t>
        </is>
      </c>
      <c r="E3" s="2" t="inlineStr">
        <is>
          <t>待评估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26" customWidth="1" min="4" max="4"/>
    <col width="38" customWidth="1" min="5" max="5"/>
  </cols>
  <sheetData>
    <row r="1">
      <c r="A1" s="1" t="inlineStr">
        <is>
          <t>代码</t>
        </is>
      </c>
      <c r="B1" s="1" t="inlineStr">
        <is>
          <t>检查方向</t>
        </is>
      </c>
      <c r="C1" s="1" t="inlineStr">
        <is>
          <t>状态</t>
        </is>
      </c>
      <c r="D1" s="1" t="inlineStr">
        <is>
          <t>关联测试点</t>
        </is>
      </c>
      <c r="E1" s="1" t="inlineStr">
        <is>
          <t>当前缺口</t>
        </is>
      </c>
    </row>
    <row r="2">
      <c r="A2" s="2" t="inlineStr">
        <is>
          <t>C01</t>
        </is>
      </c>
      <c r="B2" s="2" t="inlineStr">
        <is>
          <t>成功路径</t>
        </is>
      </c>
      <c r="C2" s="2" t="inlineStr">
        <is>
          <t>待补充</t>
        </is>
      </c>
      <c r="D2" s="2" t="inlineStr">
        <is>
          <t>[关联LC-XXX]</t>
        </is>
      </c>
      <c r="E2" s="2" t="inlineStr">
        <is>
          <t>[缺少规则、数据或环境]</t>
        </is>
      </c>
    </row>
    <row r="3">
      <c r="A3" s="2" t="inlineStr">
        <is>
          <t>C02</t>
        </is>
      </c>
      <c r="B3" s="2" t="inlineStr">
        <is>
          <t>失败反馈</t>
        </is>
      </c>
      <c r="C3" s="2" t="inlineStr">
        <is>
          <t>待补充</t>
        </is>
      </c>
      <c r="D3" s="2" t="inlineStr">
        <is>
          <t>[关联LC-XXX]</t>
        </is>
      </c>
      <c r="E3" s="2" t="inlineStr">
        <is>
          <t>[缺少规则、数据或环境]</t>
        </is>
      </c>
    </row>
    <row r="4">
      <c r="A4" s="2" t="inlineStr">
        <is>
          <t>C03</t>
        </is>
      </c>
      <c r="B4" s="2" t="inlineStr">
        <is>
          <t>临界条件</t>
        </is>
      </c>
      <c r="C4" s="2" t="inlineStr">
        <is>
          <t>待补充</t>
        </is>
      </c>
      <c r="D4" s="2" t="inlineStr">
        <is>
          <t>[关联LC-XXX]</t>
        </is>
      </c>
      <c r="E4" s="2" t="inlineStr">
        <is>
          <t>[缺少规则、数据或环境]</t>
        </is>
      </c>
    </row>
    <row r="5">
      <c r="A5" s="2" t="inlineStr">
        <is>
          <t>C04</t>
        </is>
      </c>
      <c r="B5" s="2" t="inlineStr">
        <is>
          <t>访问控制</t>
        </is>
      </c>
      <c r="C5" s="2" t="inlineStr">
        <is>
          <t>待补充</t>
        </is>
      </c>
      <c r="D5" s="2" t="inlineStr">
        <is>
          <t>[关联LC-XXX]</t>
        </is>
      </c>
      <c r="E5" s="2" t="inlineStr">
        <is>
          <t>[缺少规则、数据或环境]</t>
        </is>
      </c>
    </row>
    <row r="6">
      <c r="A6" s="2" t="inlineStr">
        <is>
          <t>C05</t>
        </is>
      </c>
      <c r="B6" s="2" t="inlineStr">
        <is>
          <t>数据约束</t>
        </is>
      </c>
      <c r="C6" s="2" t="inlineStr">
        <is>
          <t>待补充</t>
        </is>
      </c>
      <c r="D6" s="2" t="inlineStr">
        <is>
          <t>[关联LC-XXX]</t>
        </is>
      </c>
      <c r="E6" s="2" t="inlineStr">
        <is>
          <t>[缺少规则、数据或环境]</t>
        </is>
      </c>
    </row>
    <row r="7">
      <c r="A7" s="2" t="inlineStr">
        <is>
          <t>C06</t>
        </is>
      </c>
      <c r="B7" s="2" t="inlineStr">
        <is>
          <t>生命周期</t>
        </is>
      </c>
      <c r="C7" s="2" t="inlineStr">
        <is>
          <t>待补充</t>
        </is>
      </c>
      <c r="D7" s="2" t="inlineStr">
        <is>
          <t>[关联LC-XXX]</t>
        </is>
      </c>
      <c r="E7" s="2" t="inlineStr">
        <is>
          <t>[缺少规则、数据或环境]</t>
        </is>
      </c>
    </row>
    <row r="8">
      <c r="A8" s="2" t="inlineStr">
        <is>
          <t>C07</t>
        </is>
      </c>
      <c r="B8" s="2" t="inlineStr">
        <is>
          <t>同时操作</t>
        </is>
      </c>
      <c r="C8" s="2" t="inlineStr">
        <is>
          <t>待补充</t>
        </is>
      </c>
      <c r="D8" s="2" t="inlineStr">
        <is>
          <t>[关联LC-XXX]</t>
        </is>
      </c>
      <c r="E8" s="2" t="inlineStr">
        <is>
          <t>[缺少规则、数据或环境]</t>
        </is>
      </c>
    </row>
    <row r="9">
      <c r="A9" s="2" t="inlineStr">
        <is>
          <t>C08</t>
        </is>
      </c>
      <c r="B9" s="2" t="inlineStr">
        <is>
          <t>重复与重试</t>
        </is>
      </c>
      <c r="C9" s="2" t="inlineStr">
        <is>
          <t>待补充</t>
        </is>
      </c>
      <c r="D9" s="2" t="inlineStr">
        <is>
          <t>[关联LC-XXX]</t>
        </is>
      </c>
      <c r="E9" s="2" t="inlineStr">
        <is>
          <t>[缺少规则、数据或环境]</t>
        </is>
      </c>
    </row>
    <row r="10">
      <c r="A10" s="2" t="inlineStr">
        <is>
          <t>C09</t>
        </is>
      </c>
      <c r="B10" s="2" t="inlineStr">
        <is>
          <t>服务契约</t>
        </is>
      </c>
      <c r="C10" s="2" t="inlineStr">
        <is>
          <t>待补充</t>
        </is>
      </c>
      <c r="D10" s="2" t="inlineStr">
        <is>
          <t>[关联LC-XXX]</t>
        </is>
      </c>
      <c r="E10" s="2" t="inlineStr">
        <is>
          <t>[缺少规则、数据或环境]</t>
        </is>
      </c>
    </row>
    <row r="11">
      <c r="A11" s="2" t="inlineStr">
        <is>
          <t>C10</t>
        </is>
      </c>
      <c r="B11" s="2" t="inlineStr">
        <is>
          <t>持久化</t>
        </is>
      </c>
      <c r="C11" s="2" t="inlineStr">
        <is>
          <t>待补充</t>
        </is>
      </c>
      <c r="D11" s="2" t="inlineStr">
        <is>
          <t>[关联LC-XXX]</t>
        </is>
      </c>
      <c r="E11" s="2" t="inlineStr">
        <is>
          <t>[缺少规则、数据或环境]</t>
        </is>
      </c>
    </row>
    <row r="12">
      <c r="A12" s="2" t="inlineStr">
        <is>
          <t>C11</t>
        </is>
      </c>
      <c r="B12" s="2" t="inlineStr">
        <is>
          <t>追溯能力</t>
        </is>
      </c>
      <c r="C12" s="2" t="inlineStr">
        <is>
          <t>待补充</t>
        </is>
      </c>
      <c r="D12" s="2" t="inlineStr">
        <is>
          <t>[关联LC-XXX]</t>
        </is>
      </c>
      <c r="E12" s="2" t="inlineStr">
        <is>
          <t>[缺少规则、数据或环境]</t>
        </is>
      </c>
    </row>
    <row r="13">
      <c r="A13" s="2" t="inlineStr">
        <is>
          <t>C12</t>
        </is>
      </c>
      <c r="B13" s="2" t="inlineStr">
        <is>
          <t>运行环境</t>
        </is>
      </c>
      <c r="C13" s="2" t="inlineStr">
        <is>
          <t>待补充</t>
        </is>
      </c>
      <c r="D13" s="2" t="inlineStr">
        <is>
          <t>[关联LC-XXX]</t>
        </is>
      </c>
      <c r="E13" s="2" t="inlineStr">
        <is>
          <t>[缺少规则、数据或环境]</t>
        </is>
      </c>
    </row>
    <row r="14">
      <c r="A14" s="2" t="inlineStr">
        <is>
          <t>C13</t>
        </is>
      </c>
      <c r="B14" s="2" t="inlineStr">
        <is>
          <t>容量指标</t>
        </is>
      </c>
      <c r="C14" s="2" t="inlineStr">
        <is>
          <t>待补充</t>
        </is>
      </c>
      <c r="D14" s="2" t="inlineStr">
        <is>
          <t>[关联LC-XXX]</t>
        </is>
      </c>
      <c r="E14" s="2" t="inlineStr">
        <is>
          <t>[缺少规则、数据或环境]</t>
        </is>
      </c>
    </row>
    <row r="15">
      <c r="A15" s="2" t="inlineStr">
        <is>
          <t>C14</t>
        </is>
      </c>
      <c r="B15" s="2" t="inlineStr">
        <is>
          <t>变更影响</t>
        </is>
      </c>
      <c r="C15" s="2" t="inlineStr">
        <is>
          <t>待补充</t>
        </is>
      </c>
      <c r="D15" s="2" t="inlineStr">
        <is>
          <t>[关联LC-XXX]</t>
        </is>
      </c>
      <c r="E15" s="2" t="inlineStr">
        <is>
          <t>[缺少规则、数据或环境]</t>
        </is>
      </c>
    </row>
  </sheetData>
  <autoFilter ref="A1:E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2026-09-09T03:18:07Z</dcterms:created>
  <dcterms:modified xmlns:dcterms="http://purl.org/dc/terms/" xmlns:xsi="http://www.w3.org/2001/XMLSchema-instance" xsi:type="dcterms:W3CDTF">2026-09-09T03:18:07Z</dcterms:modified>
</cp:coreProperties>
</file>